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oureldin\Desktop\TSP\semi-supervised-labeling-framework\results\"/>
    </mc:Choice>
  </mc:AlternateContent>
  <xr:revisionPtr revIDLastSave="0" documentId="13_ncr:1_{C5C92E2B-6AE6-471F-8E2C-E498C35B77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question overlap" sheetId="6" r:id="rId1"/>
    <sheet name="stat label" sheetId="1" r:id="rId2"/>
    <sheet name="eval labels" sheetId="2" r:id="rId3"/>
    <sheet name="stat question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2" l="1"/>
  <c r="L13" i="2"/>
  <c r="M13" i="2"/>
  <c r="K14" i="2"/>
  <c r="L14" i="2"/>
  <c r="M14" i="2"/>
  <c r="K15" i="2"/>
  <c r="L15" i="2"/>
  <c r="M15" i="2"/>
  <c r="K16" i="2"/>
  <c r="L16" i="2"/>
  <c r="M16" i="2"/>
  <c r="L12" i="2"/>
  <c r="M12" i="2"/>
  <c r="K12" i="2"/>
  <c r="K4" i="2"/>
  <c r="L4" i="2"/>
  <c r="M4" i="2"/>
  <c r="K5" i="2"/>
  <c r="L5" i="2"/>
  <c r="M5" i="2"/>
  <c r="K6" i="2"/>
  <c r="L6" i="2"/>
  <c r="M6" i="2"/>
  <c r="K7" i="2"/>
  <c r="L7" i="2"/>
  <c r="M7" i="2"/>
  <c r="K8" i="2"/>
  <c r="L8" i="2"/>
  <c r="M8" i="2"/>
  <c r="L3" i="2"/>
  <c r="M3" i="2"/>
  <c r="K3" i="2"/>
</calcChain>
</file>

<file path=xl/sharedStrings.xml><?xml version="1.0" encoding="utf-8"?>
<sst xmlns="http://schemas.openxmlformats.org/spreadsheetml/2006/main" count="247" uniqueCount="85">
  <si>
    <t>method</t>
  </si>
  <si>
    <t>standard</t>
  </si>
  <si>
    <t>iso 27002</t>
  </si>
  <si>
    <t>Execution time</t>
  </si>
  <si>
    <t>Tokens consumed</t>
  </si>
  <si>
    <t>Energy consumed</t>
  </si>
  <si>
    <t>Clusters</t>
  </si>
  <si>
    <t>Labeled Items</t>
  </si>
  <si>
    <t>iso 27001</t>
  </si>
  <si>
    <t>Total Items</t>
  </si>
  <si>
    <t>iso 27017</t>
  </si>
  <si>
    <t>iso 27018</t>
  </si>
  <si>
    <t>iso 27701</t>
  </si>
  <si>
    <t>unique labels</t>
  </si>
  <si>
    <t xml:space="preserve">prediction from iso 27002 </t>
  </si>
  <si>
    <t xml:space="preserve">prediction from iso 27001 </t>
  </si>
  <si>
    <t xml:space="preserve">prediction from iso 27017 </t>
  </si>
  <si>
    <t xml:space="preserve">prediction from iso 27018 </t>
  </si>
  <si>
    <t xml:space="preserve">prediction from iso 27701 </t>
  </si>
  <si>
    <t>-</t>
  </si>
  <si>
    <t>embeddings</t>
  </si>
  <si>
    <t>Method 1</t>
  </si>
  <si>
    <t>Method 2</t>
  </si>
  <si>
    <t>Correctness</t>
  </si>
  <si>
    <t>csa caiq</t>
  </si>
  <si>
    <t>query</t>
  </si>
  <si>
    <t>Backup Frequency &amp; Retention</t>
  </si>
  <si>
    <t>Monitoring &amp; Incident Response</t>
  </si>
  <si>
    <t>id</t>
  </si>
  <si>
    <t>q_1</t>
  </si>
  <si>
    <t>q_2</t>
  </si>
  <si>
    <t>CSA_CAIQ</t>
  </si>
  <si>
    <t>BM25</t>
  </si>
  <si>
    <t>LLM</t>
  </si>
  <si>
    <t>Similarity</t>
  </si>
  <si>
    <t>CAIQ</t>
  </si>
  <si>
    <t>SSSL</t>
  </si>
  <si>
    <t>Generalization</t>
  </si>
  <si>
    <t>Consistency</t>
  </si>
  <si>
    <t>detla</t>
  </si>
  <si>
    <t>iso 22701</t>
  </si>
  <si>
    <t>caiq</t>
  </si>
  <si>
    <t>iso 27002 from CAIQ</t>
  </si>
  <si>
    <t>knn</t>
  </si>
  <si>
    <t>iso 27002 from iso 27001</t>
  </si>
  <si>
    <t>iso 27002 from iso 27017</t>
  </si>
  <si>
    <t>iso 27002 from iso 27018</t>
  </si>
  <si>
    <t>iso 27002 from iso 27701</t>
  </si>
  <si>
    <t>ISO_27001</t>
  </si>
  <si>
    <t>ISO_27002</t>
  </si>
  <si>
    <t>ISO_27017</t>
  </si>
  <si>
    <t>ISO_27018</t>
  </si>
  <si>
    <t>ISO_27701</t>
  </si>
  <si>
    <t>100.0</t>
  </si>
  <si>
    <t>20.0</t>
  </si>
  <si>
    <t>23.1</t>
  </si>
  <si>
    <t>12.7</t>
  </si>
  <si>
    <t>9.6</t>
  </si>
  <si>
    <t>6.5</t>
  </si>
  <si>
    <t>60.0</t>
  </si>
  <si>
    <t>25.0</t>
  </si>
  <si>
    <t>23.0</t>
  </si>
  <si>
    <t>28.5</t>
  </si>
  <si>
    <t>19.2</t>
  </si>
  <si>
    <t>51.6</t>
  </si>
  <si>
    <t>26.4</t>
  </si>
  <si>
    <t>17.6</t>
  </si>
  <si>
    <t>22.0</t>
  </si>
  <si>
    <t>11.5</t>
  </si>
  <si>
    <t>25.5</t>
  </si>
  <si>
    <t>35.0</t>
  </si>
  <si>
    <t>34.5</t>
  </si>
  <si>
    <t>21.5</t>
  </si>
  <si>
    <t>8.5</t>
  </si>
  <si>
    <t>19.0</t>
  </si>
  <si>
    <t>29.0</t>
  </si>
  <si>
    <t>52.5</t>
  </si>
  <si>
    <t>9.5</t>
  </si>
  <si>
    <t>24.0</t>
  </si>
  <si>
    <t>18.0</t>
  </si>
  <si>
    <t>6,23 s</t>
  </si>
  <si>
    <t>score</t>
  </si>
  <si>
    <t>Backup Frequency &amp; Retention &amp; Monitoring &amp; Incident Response</t>
  </si>
  <si>
    <t>q_3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</si>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</sst>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DF0B6-02D2-46DA-860D-19051A161656}">
  <dimension ref="A1:G7"/>
  <sheetViews>
    <sheetView tabSelected="1" workbookViewId="0">
      <selection activeCell="D6" sqref="D6"/>
    </sheetView>
  </sheetViews>
  <sheetFormatPr baseColWidth="10" defaultRowHeight="14.4" x14ac:dyDescent="0.3"/>
  <sheetData>
    <row r="1" spans="1:7" x14ac:dyDescent="0.3">
      <c r="B1" t="s">
        <v>31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 spans="1:7" x14ac:dyDescent="0.3">
      <c r="A2" t="s">
        <v>31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</row>
    <row r="3" spans="1:7" x14ac:dyDescent="0.3">
      <c r="A3" t="s">
        <v>48</v>
      </c>
      <c r="B3" t="s">
        <v>54</v>
      </c>
      <c r="C3" t="s">
        <v>53</v>
      </c>
      <c r="D3" t="s">
        <v>59</v>
      </c>
      <c r="E3" t="s">
        <v>60</v>
      </c>
      <c r="F3" t="s">
        <v>61</v>
      </c>
      <c r="G3" t="s">
        <v>62</v>
      </c>
    </row>
    <row r="4" spans="1:7" x14ac:dyDescent="0.3">
      <c r="A4" t="s">
        <v>49</v>
      </c>
      <c r="B4" t="s">
        <v>63</v>
      </c>
      <c r="C4" t="s">
        <v>64</v>
      </c>
      <c r="D4" t="s">
        <v>53</v>
      </c>
      <c r="E4" t="s">
        <v>65</v>
      </c>
      <c r="F4" t="s">
        <v>66</v>
      </c>
      <c r="G4" t="s">
        <v>67</v>
      </c>
    </row>
    <row r="5" spans="1:7" x14ac:dyDescent="0.3">
      <c r="A5" t="s">
        <v>50</v>
      </c>
      <c r="B5" t="s">
        <v>68</v>
      </c>
      <c r="C5" t="s">
        <v>69</v>
      </c>
      <c r="D5" t="s">
        <v>70</v>
      </c>
      <c r="E5" t="s">
        <v>53</v>
      </c>
      <c r="F5" t="s">
        <v>71</v>
      </c>
      <c r="G5" t="s">
        <v>72</v>
      </c>
    </row>
    <row r="6" spans="1:7" x14ac:dyDescent="0.3">
      <c r="A6" t="s">
        <v>51</v>
      </c>
      <c r="B6" t="s">
        <v>73</v>
      </c>
      <c r="C6" t="s">
        <v>74</v>
      </c>
      <c r="D6" t="s">
        <v>54</v>
      </c>
      <c r="E6" t="s">
        <v>75</v>
      </c>
      <c r="F6" t="s">
        <v>53</v>
      </c>
      <c r="G6" t="s">
        <v>76</v>
      </c>
    </row>
    <row r="7" spans="1:7" x14ac:dyDescent="0.3">
      <c r="A7" t="s">
        <v>52</v>
      </c>
      <c r="B7" t="s">
        <v>77</v>
      </c>
      <c r="C7" t="s">
        <v>78</v>
      </c>
      <c r="D7" t="s">
        <v>75</v>
      </c>
      <c r="E7" t="s">
        <v>79</v>
      </c>
      <c r="F7" t="s">
        <v>76</v>
      </c>
      <c r="G7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opLeftCell="A7" workbookViewId="0">
      <selection activeCell="I22" sqref="I22:I26"/>
    </sheetView>
  </sheetViews>
  <sheetFormatPr baseColWidth="10" defaultColWidth="8.88671875" defaultRowHeight="14.4" x14ac:dyDescent="0.3"/>
  <cols>
    <col min="1" max="1" width="23.33203125" style="1" bestFit="1" customWidth="1"/>
    <col min="2" max="2" width="17.88671875" style="1" customWidth="1"/>
    <col min="3" max="3" width="13.109375" style="1" bestFit="1" customWidth="1"/>
    <col min="4" max="4" width="15.5546875" style="1" bestFit="1" customWidth="1"/>
    <col min="5" max="5" width="15.21875" style="1" bestFit="1" customWidth="1"/>
    <col min="6" max="6" width="7.44140625" style="1" bestFit="1" customWidth="1"/>
    <col min="7" max="7" width="12.33203125" style="1" bestFit="1" customWidth="1"/>
    <col min="8" max="8" width="10.21875" style="1" bestFit="1" customWidth="1"/>
    <col min="9" max="9" width="13.77734375" style="1" bestFit="1" customWidth="1"/>
    <col min="10" max="16384" width="8.88671875" style="1"/>
  </cols>
  <sheetData>
    <row r="1" spans="1:9" x14ac:dyDescent="0.3">
      <c r="A1" s="1" t="s">
        <v>0</v>
      </c>
      <c r="B1" s="1" t="s">
        <v>1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13</v>
      </c>
    </row>
    <row r="2" spans="1:9" x14ac:dyDescent="0.3">
      <c r="A2" s="1" t="s">
        <v>36</v>
      </c>
      <c r="B2" s="1" t="s">
        <v>8</v>
      </c>
      <c r="C2" s="1">
        <v>169.49</v>
      </c>
      <c r="D2" s="3">
        <v>30414</v>
      </c>
      <c r="E2" s="1">
        <v>1.6000000000000001E-3</v>
      </c>
      <c r="F2" s="1">
        <v>64</v>
      </c>
      <c r="G2" s="1">
        <v>200</v>
      </c>
      <c r="H2" s="1">
        <v>200</v>
      </c>
      <c r="I2" s="1">
        <v>95</v>
      </c>
    </row>
    <row r="3" spans="1:9" x14ac:dyDescent="0.3">
      <c r="A3" s="7" t="s">
        <v>36</v>
      </c>
      <c r="B3" s="1" t="s">
        <v>2</v>
      </c>
      <c r="C3" s="1">
        <v>304.10000000000002</v>
      </c>
      <c r="D3" s="3">
        <v>59808</v>
      </c>
      <c r="E3" s="1">
        <v>2.8709999999999999E-3</v>
      </c>
      <c r="F3" s="1">
        <v>131</v>
      </c>
      <c r="G3" s="1">
        <v>250</v>
      </c>
      <c r="H3" s="1">
        <v>250</v>
      </c>
      <c r="I3" s="1">
        <v>255</v>
      </c>
    </row>
    <row r="4" spans="1:9" x14ac:dyDescent="0.3">
      <c r="A4" s="7" t="s">
        <v>36</v>
      </c>
      <c r="B4" s="1" t="s">
        <v>10</v>
      </c>
      <c r="C4" s="1">
        <v>174.09</v>
      </c>
      <c r="D4" s="3">
        <v>28842</v>
      </c>
      <c r="E4" s="1">
        <v>1.6440000000000001E-3</v>
      </c>
      <c r="F4" s="1">
        <v>58</v>
      </c>
      <c r="G4" s="1">
        <v>200</v>
      </c>
      <c r="H4" s="1">
        <v>200</v>
      </c>
      <c r="I4" s="1">
        <v>114</v>
      </c>
    </row>
    <row r="5" spans="1:9" x14ac:dyDescent="0.3">
      <c r="A5" s="7" t="s">
        <v>36</v>
      </c>
      <c r="B5" s="1" t="s">
        <v>11</v>
      </c>
      <c r="C5" s="1">
        <v>178.86</v>
      </c>
      <c r="D5" s="3">
        <v>30270</v>
      </c>
      <c r="E5" s="1">
        <v>1.689E-3</v>
      </c>
      <c r="F5" s="1">
        <v>60</v>
      </c>
      <c r="G5" s="1">
        <v>200</v>
      </c>
      <c r="H5" s="1">
        <v>200</v>
      </c>
      <c r="I5" s="1">
        <v>121</v>
      </c>
    </row>
    <row r="6" spans="1:9" x14ac:dyDescent="0.3">
      <c r="A6" s="7" t="s">
        <v>36</v>
      </c>
      <c r="B6" s="1" t="s">
        <v>12</v>
      </c>
      <c r="C6" s="1">
        <v>260.48</v>
      </c>
      <c r="D6" s="3">
        <v>31303</v>
      </c>
      <c r="E6" s="1">
        <v>2.4589999999999998E-3</v>
      </c>
      <c r="F6" s="1">
        <v>63</v>
      </c>
      <c r="G6" s="1">
        <v>200</v>
      </c>
      <c r="H6" s="1">
        <v>200</v>
      </c>
      <c r="I6" s="1">
        <v>119</v>
      </c>
    </row>
    <row r="7" spans="1:9" s="5" customFormat="1" x14ac:dyDescent="0.3">
      <c r="A7" s="7" t="s">
        <v>36</v>
      </c>
      <c r="B7" s="5" t="s">
        <v>24</v>
      </c>
      <c r="C7" s="5">
        <v>201.55</v>
      </c>
      <c r="D7" s="3">
        <v>26525</v>
      </c>
      <c r="E7" s="5">
        <v>1.903E-3</v>
      </c>
      <c r="F7" s="5">
        <v>30</v>
      </c>
      <c r="G7" s="5">
        <v>260</v>
      </c>
      <c r="H7" s="5">
        <v>260</v>
      </c>
      <c r="I7" s="6">
        <v>83</v>
      </c>
    </row>
    <row r="9" spans="1:9" x14ac:dyDescent="0.3">
      <c r="A9" s="1" t="s">
        <v>33</v>
      </c>
      <c r="B9" s="1" t="s">
        <v>8</v>
      </c>
      <c r="C9" s="1">
        <v>315.33</v>
      </c>
      <c r="D9" s="3">
        <v>50556</v>
      </c>
      <c r="E9" s="1">
        <v>2.977E-3</v>
      </c>
      <c r="F9" s="4" t="s">
        <v>19</v>
      </c>
      <c r="G9" s="1">
        <v>200</v>
      </c>
      <c r="H9" s="1">
        <v>200</v>
      </c>
      <c r="I9" s="1">
        <v>463</v>
      </c>
    </row>
    <row r="10" spans="1:9" x14ac:dyDescent="0.3">
      <c r="A10" s="7" t="s">
        <v>33</v>
      </c>
      <c r="B10" s="1" t="s">
        <v>2</v>
      </c>
      <c r="C10" s="1">
        <v>367.99</v>
      </c>
      <c r="D10" s="3">
        <v>63640</v>
      </c>
      <c r="E10" s="1">
        <v>3.4740000000000001E-3</v>
      </c>
      <c r="F10" s="4" t="s">
        <v>19</v>
      </c>
      <c r="G10" s="1">
        <v>250</v>
      </c>
      <c r="H10" s="1">
        <v>250</v>
      </c>
      <c r="I10" s="1">
        <v>670</v>
      </c>
    </row>
    <row r="11" spans="1:9" x14ac:dyDescent="0.3">
      <c r="A11" s="7" t="s">
        <v>33</v>
      </c>
      <c r="B11" s="1" t="s">
        <v>10</v>
      </c>
      <c r="C11" s="1">
        <v>314</v>
      </c>
      <c r="D11" s="3">
        <v>51245</v>
      </c>
      <c r="E11" s="1">
        <v>2.9650000000000002E-3</v>
      </c>
      <c r="F11" s="4" t="s">
        <v>19</v>
      </c>
      <c r="G11" s="1">
        <v>200</v>
      </c>
      <c r="H11" s="1">
        <v>200</v>
      </c>
      <c r="I11" s="1">
        <v>543</v>
      </c>
    </row>
    <row r="12" spans="1:9" x14ac:dyDescent="0.3">
      <c r="A12" s="7" t="s">
        <v>33</v>
      </c>
      <c r="B12" s="1" t="s">
        <v>11</v>
      </c>
      <c r="C12" s="1">
        <v>284.56</v>
      </c>
      <c r="D12" s="3">
        <v>51577</v>
      </c>
      <c r="E12" s="1">
        <v>2.6870000000000002E-3</v>
      </c>
      <c r="F12" s="4" t="s">
        <v>19</v>
      </c>
      <c r="G12" s="1">
        <v>200</v>
      </c>
      <c r="H12" s="1">
        <v>200</v>
      </c>
      <c r="I12" s="1">
        <v>524</v>
      </c>
    </row>
    <row r="13" spans="1:9" x14ac:dyDescent="0.3">
      <c r="A13" s="7" t="s">
        <v>33</v>
      </c>
      <c r="B13" s="1" t="s">
        <v>12</v>
      </c>
      <c r="C13" s="1">
        <v>310.27999999999997</v>
      </c>
      <c r="D13" s="3">
        <v>51527</v>
      </c>
      <c r="E13" s="1">
        <v>2.9290000000000002E-3</v>
      </c>
      <c r="F13" s="4" t="s">
        <v>19</v>
      </c>
      <c r="G13" s="1">
        <v>200</v>
      </c>
      <c r="H13" s="1">
        <v>200</v>
      </c>
      <c r="I13" s="1">
        <v>508</v>
      </c>
    </row>
    <row r="14" spans="1:9" s="5" customFormat="1" x14ac:dyDescent="0.3">
      <c r="A14" s="7" t="s">
        <v>33</v>
      </c>
      <c r="B14" s="5" t="s">
        <v>24</v>
      </c>
      <c r="C14" s="5">
        <v>345.83</v>
      </c>
      <c r="D14" s="3">
        <v>74333</v>
      </c>
      <c r="E14" s="2">
        <v>3.2629999999999998E-3</v>
      </c>
      <c r="F14" s="4" t="s">
        <v>19</v>
      </c>
      <c r="G14" s="5">
        <v>260</v>
      </c>
      <c r="H14" s="5">
        <v>260</v>
      </c>
      <c r="I14" s="5">
        <v>1065</v>
      </c>
    </row>
    <row r="16" spans="1:9" x14ac:dyDescent="0.3">
      <c r="A16" s="1" t="s">
        <v>15</v>
      </c>
      <c r="B16" s="1" t="s">
        <v>2</v>
      </c>
    </row>
    <row r="17" spans="1:9" x14ac:dyDescent="0.3">
      <c r="A17" s="1" t="s">
        <v>15</v>
      </c>
      <c r="B17" s="1" t="s">
        <v>10</v>
      </c>
    </row>
    <row r="18" spans="1:9" x14ac:dyDescent="0.3">
      <c r="A18" s="1" t="s">
        <v>15</v>
      </c>
      <c r="B18" s="1" t="s">
        <v>11</v>
      </c>
    </row>
    <row r="19" spans="1:9" x14ac:dyDescent="0.3">
      <c r="A19" s="1" t="s">
        <v>15</v>
      </c>
      <c r="B19" s="1" t="s">
        <v>12</v>
      </c>
    </row>
    <row r="20" spans="1:9" s="7" customFormat="1" x14ac:dyDescent="0.3">
      <c r="A20" s="7" t="s">
        <v>15</v>
      </c>
      <c r="B20" s="7" t="s">
        <v>41</v>
      </c>
    </row>
    <row r="22" spans="1:9" x14ac:dyDescent="0.3">
      <c r="A22" s="1" t="s">
        <v>14</v>
      </c>
      <c r="B22" s="1" t="s">
        <v>8</v>
      </c>
      <c r="C22" s="1">
        <v>0.12</v>
      </c>
      <c r="E22" s="1">
        <v>9.9999999999999995E-7</v>
      </c>
      <c r="I22" s="1">
        <v>20</v>
      </c>
    </row>
    <row r="23" spans="1:9" x14ac:dyDescent="0.3">
      <c r="A23" s="1" t="s">
        <v>14</v>
      </c>
      <c r="B23" s="1" t="s">
        <v>10</v>
      </c>
      <c r="C23" s="1">
        <v>0.18</v>
      </c>
      <c r="E23" s="1">
        <v>1.9999999999999999E-6</v>
      </c>
      <c r="I23" s="1">
        <v>21</v>
      </c>
    </row>
    <row r="24" spans="1:9" x14ac:dyDescent="0.3">
      <c r="A24" s="1" t="s">
        <v>14</v>
      </c>
      <c r="B24" s="1" t="s">
        <v>11</v>
      </c>
      <c r="C24" s="1">
        <v>0.28999999999999998</v>
      </c>
      <c r="E24" s="1">
        <v>3.0000000000000001E-6</v>
      </c>
      <c r="I24" s="1">
        <v>19</v>
      </c>
    </row>
    <row r="25" spans="1:9" x14ac:dyDescent="0.3">
      <c r="A25" s="1" t="s">
        <v>14</v>
      </c>
      <c r="B25" s="1" t="s">
        <v>12</v>
      </c>
      <c r="C25" s="1">
        <v>0.22</v>
      </c>
      <c r="E25" s="1">
        <v>1.9999999999999999E-6</v>
      </c>
      <c r="I25" s="1">
        <v>20</v>
      </c>
    </row>
    <row r="26" spans="1:9" s="7" customFormat="1" x14ac:dyDescent="0.3">
      <c r="A26" s="7" t="s">
        <v>14</v>
      </c>
      <c r="B26" s="7" t="s">
        <v>41</v>
      </c>
      <c r="C26" s="7">
        <v>0.14000000000000001</v>
      </c>
      <c r="E26" s="7">
        <v>9.9999999999999995E-7</v>
      </c>
      <c r="I26" s="7">
        <v>10</v>
      </c>
    </row>
    <row r="28" spans="1:9" x14ac:dyDescent="0.3">
      <c r="A28" s="1" t="s">
        <v>16</v>
      </c>
      <c r="B28" s="1" t="s">
        <v>8</v>
      </c>
      <c r="C28" s="1">
        <v>0.3</v>
      </c>
      <c r="E28" s="1">
        <v>3.0000000000000001E-6</v>
      </c>
    </row>
    <row r="29" spans="1:9" x14ac:dyDescent="0.3">
      <c r="A29" s="1" t="s">
        <v>16</v>
      </c>
      <c r="B29" s="1" t="s">
        <v>2</v>
      </c>
    </row>
    <row r="30" spans="1:9" x14ac:dyDescent="0.3">
      <c r="A30" s="1" t="s">
        <v>16</v>
      </c>
      <c r="B30" s="1" t="s">
        <v>11</v>
      </c>
    </row>
    <row r="31" spans="1:9" x14ac:dyDescent="0.3">
      <c r="A31" s="1" t="s">
        <v>16</v>
      </c>
      <c r="B31" s="1" t="s">
        <v>12</v>
      </c>
    </row>
    <row r="32" spans="1:9" s="7" customFormat="1" x14ac:dyDescent="0.3">
      <c r="A32" s="7" t="s">
        <v>16</v>
      </c>
      <c r="B32" s="7" t="s">
        <v>41</v>
      </c>
    </row>
    <row r="34" spans="1:5" x14ac:dyDescent="0.3">
      <c r="A34" s="1" t="s">
        <v>17</v>
      </c>
      <c r="B34" s="1" t="s">
        <v>8</v>
      </c>
      <c r="C34" s="1">
        <v>0.28999999999999998</v>
      </c>
      <c r="E34" s="1">
        <v>3.0000000000000001E-6</v>
      </c>
    </row>
    <row r="35" spans="1:5" x14ac:dyDescent="0.3">
      <c r="A35" s="1" t="s">
        <v>17</v>
      </c>
      <c r="B35" s="1" t="s">
        <v>2</v>
      </c>
    </row>
    <row r="36" spans="1:5" x14ac:dyDescent="0.3">
      <c r="A36" s="1" t="s">
        <v>17</v>
      </c>
      <c r="B36" s="1" t="s">
        <v>10</v>
      </c>
    </row>
    <row r="37" spans="1:5" x14ac:dyDescent="0.3">
      <c r="A37" s="1" t="s">
        <v>17</v>
      </c>
      <c r="B37" s="1" t="s">
        <v>12</v>
      </c>
    </row>
    <row r="38" spans="1:5" s="7" customFormat="1" x14ac:dyDescent="0.3">
      <c r="A38" s="7" t="s">
        <v>17</v>
      </c>
      <c r="B38" s="7" t="s">
        <v>41</v>
      </c>
    </row>
    <row r="40" spans="1:5" x14ac:dyDescent="0.3">
      <c r="A40" s="1" t="s">
        <v>18</v>
      </c>
      <c r="B40" s="1" t="s">
        <v>8</v>
      </c>
      <c r="C40" s="1">
        <v>0.15</v>
      </c>
      <c r="E40" s="1">
        <v>9.9999999999999995E-7</v>
      </c>
    </row>
    <row r="41" spans="1:5" x14ac:dyDescent="0.3">
      <c r="A41" s="1" t="s">
        <v>18</v>
      </c>
      <c r="B41" s="1" t="s">
        <v>2</v>
      </c>
    </row>
    <row r="42" spans="1:5" x14ac:dyDescent="0.3">
      <c r="A42" s="1" t="s">
        <v>18</v>
      </c>
      <c r="B42" s="1" t="s">
        <v>10</v>
      </c>
    </row>
    <row r="43" spans="1:5" x14ac:dyDescent="0.3">
      <c r="A43" s="1" t="s">
        <v>18</v>
      </c>
      <c r="B43" s="1" t="s">
        <v>11</v>
      </c>
    </row>
    <row r="44" spans="1:5" s="7" customFormat="1" x14ac:dyDescent="0.3">
      <c r="A44" s="7" t="s">
        <v>18</v>
      </c>
      <c r="B44" s="7" t="s">
        <v>41</v>
      </c>
    </row>
    <row r="45" spans="1:5" s="7" customFormat="1" x14ac:dyDescent="0.3"/>
    <row r="46" spans="1:5" s="7" customFormat="1" x14ac:dyDescent="0.3">
      <c r="A46" s="7" t="s">
        <v>41</v>
      </c>
      <c r="B46" s="7" t="s">
        <v>8</v>
      </c>
    </row>
    <row r="47" spans="1:5" s="7" customFormat="1" x14ac:dyDescent="0.3">
      <c r="A47" s="7" t="s">
        <v>41</v>
      </c>
      <c r="B47" s="7" t="s">
        <v>2</v>
      </c>
    </row>
    <row r="48" spans="1:5" s="7" customFormat="1" x14ac:dyDescent="0.3">
      <c r="A48" s="7" t="s">
        <v>41</v>
      </c>
      <c r="B48" s="7" t="s">
        <v>10</v>
      </c>
    </row>
    <row r="49" spans="1:5" s="7" customFormat="1" x14ac:dyDescent="0.3">
      <c r="A49" s="7" t="s">
        <v>41</v>
      </c>
      <c r="B49" s="7" t="s">
        <v>11</v>
      </c>
    </row>
    <row r="50" spans="1:5" s="7" customFormat="1" x14ac:dyDescent="0.3">
      <c r="A50" s="7" t="s">
        <v>41</v>
      </c>
      <c r="B50" s="7" t="s">
        <v>12</v>
      </c>
    </row>
    <row r="52" spans="1:5" x14ac:dyDescent="0.3">
      <c r="A52" s="1" t="s">
        <v>20</v>
      </c>
      <c r="B52" s="1" t="s">
        <v>8</v>
      </c>
      <c r="C52" s="6" t="s">
        <v>80</v>
      </c>
      <c r="D52" s="3">
        <v>1570</v>
      </c>
      <c r="E52" s="1">
        <v>5.8999999999999998E-5</v>
      </c>
    </row>
    <row r="53" spans="1:5" x14ac:dyDescent="0.3">
      <c r="A53" s="1" t="s">
        <v>20</v>
      </c>
      <c r="B53" s="1" t="s">
        <v>2</v>
      </c>
      <c r="C53" s="1">
        <v>5.26</v>
      </c>
      <c r="D53" s="3">
        <v>2162</v>
      </c>
      <c r="E53" s="1">
        <v>5.0000000000000002E-5</v>
      </c>
    </row>
    <row r="54" spans="1:5" x14ac:dyDescent="0.3">
      <c r="A54" s="1" t="s">
        <v>20</v>
      </c>
      <c r="B54" s="1" t="s">
        <v>10</v>
      </c>
      <c r="C54" s="1">
        <v>4.34</v>
      </c>
      <c r="D54" s="3">
        <v>1898</v>
      </c>
      <c r="E54" s="1">
        <v>4.1E-5</v>
      </c>
    </row>
    <row r="55" spans="1:5" x14ac:dyDescent="0.3">
      <c r="A55" s="1" t="s">
        <v>20</v>
      </c>
      <c r="B55" s="1" t="s">
        <v>11</v>
      </c>
      <c r="C55" s="1">
        <v>4.25</v>
      </c>
      <c r="D55" s="3">
        <v>2081</v>
      </c>
      <c r="E55" s="1">
        <v>4.0000000000000003E-5</v>
      </c>
    </row>
    <row r="56" spans="1:5" x14ac:dyDescent="0.3">
      <c r="A56" s="1" t="s">
        <v>20</v>
      </c>
      <c r="B56" s="1" t="s">
        <v>12</v>
      </c>
      <c r="C56" s="1">
        <v>4.66</v>
      </c>
      <c r="D56" s="3">
        <v>2048</v>
      </c>
      <c r="E56" s="1">
        <v>4.3999999999999999E-5</v>
      </c>
    </row>
    <row r="57" spans="1:5" x14ac:dyDescent="0.3">
      <c r="A57" s="6" t="s">
        <v>20</v>
      </c>
      <c r="B57" s="6" t="s">
        <v>24</v>
      </c>
      <c r="C57" s="6">
        <v>6.04</v>
      </c>
      <c r="D57" s="3">
        <v>6078</v>
      </c>
      <c r="E57" s="6">
        <v>5.7000000000000003E-5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2610F-C3CA-44CD-9E7B-781EBD420E9B}">
  <dimension ref="A1:M17"/>
  <sheetViews>
    <sheetView workbookViewId="0">
      <selection activeCell="E12" sqref="E12:E16"/>
    </sheetView>
  </sheetViews>
  <sheetFormatPr baseColWidth="10" defaultRowHeight="14.4" x14ac:dyDescent="0.3"/>
  <cols>
    <col min="1" max="1" width="21.6640625" style="1" bestFit="1" customWidth="1"/>
    <col min="2" max="2" width="4.5546875" style="1" bestFit="1" customWidth="1"/>
    <col min="3" max="3" width="10.6640625" style="1" bestFit="1" customWidth="1"/>
    <col min="4" max="4" width="12.77734375" style="1" bestFit="1" customWidth="1"/>
    <col min="5" max="5" width="13.44140625" style="1" bestFit="1" customWidth="1"/>
    <col min="6" max="6" width="7.21875" style="1" bestFit="1" customWidth="1"/>
    <col min="7" max="7" width="10.6640625" style="1" bestFit="1" customWidth="1"/>
    <col min="8" max="8" width="12.77734375" style="1" bestFit="1" customWidth="1"/>
    <col min="9" max="9" width="10.6640625" style="1" bestFit="1" customWidth="1"/>
    <col min="10" max="10" width="4" style="1" customWidth="1"/>
    <col min="11" max="11" width="10.6640625" style="1" bestFit="1" customWidth="1"/>
    <col min="12" max="12" width="12.77734375" style="1" bestFit="1" customWidth="1"/>
    <col min="13" max="13" width="13.44140625" style="1" bestFit="1" customWidth="1"/>
    <col min="14" max="16384" width="11.5546875" style="1"/>
  </cols>
  <sheetData>
    <row r="1" spans="1:13" x14ac:dyDescent="0.3">
      <c r="A1" s="8" t="s">
        <v>1</v>
      </c>
      <c r="B1" s="8" t="s">
        <v>21</v>
      </c>
      <c r="C1" s="8"/>
      <c r="D1" s="8"/>
      <c r="E1" s="8"/>
      <c r="F1" s="8" t="s">
        <v>22</v>
      </c>
      <c r="G1" s="8"/>
      <c r="H1" s="8"/>
      <c r="I1" s="8"/>
      <c r="J1" s="9"/>
      <c r="K1" s="8" t="s">
        <v>39</v>
      </c>
      <c r="L1" s="8"/>
      <c r="M1" s="8"/>
    </row>
    <row r="2" spans="1:13" x14ac:dyDescent="0.3">
      <c r="A2" s="8"/>
      <c r="B2" s="10"/>
      <c r="C2" s="7" t="s">
        <v>23</v>
      </c>
      <c r="D2" s="1" t="s">
        <v>37</v>
      </c>
      <c r="E2" s="1" t="s">
        <v>38</v>
      </c>
      <c r="F2" s="10"/>
      <c r="G2" s="1" t="s">
        <v>23</v>
      </c>
      <c r="H2" s="1" t="s">
        <v>37</v>
      </c>
      <c r="I2" s="1" t="s">
        <v>38</v>
      </c>
      <c r="J2" s="10"/>
      <c r="K2" s="1" t="s">
        <v>23</v>
      </c>
      <c r="L2" s="1" t="s">
        <v>37</v>
      </c>
      <c r="M2" s="1" t="s">
        <v>38</v>
      </c>
    </row>
    <row r="3" spans="1:13" x14ac:dyDescent="0.3">
      <c r="A3" s="1" t="s">
        <v>35</v>
      </c>
      <c r="B3" s="10" t="s">
        <v>36</v>
      </c>
      <c r="C3" s="1">
        <v>3.29</v>
      </c>
      <c r="D3" s="1">
        <v>4.03</v>
      </c>
      <c r="E3" s="1">
        <v>4.5599999999999996</v>
      </c>
      <c r="F3" s="10" t="s">
        <v>33</v>
      </c>
      <c r="G3" s="1">
        <v>4.75</v>
      </c>
      <c r="H3" s="1">
        <v>4.42</v>
      </c>
      <c r="I3" s="1">
        <v>4.78</v>
      </c>
      <c r="J3" s="10"/>
      <c r="K3" s="1">
        <f>C3-G3</f>
        <v>-1.46</v>
      </c>
      <c r="L3" s="7">
        <f t="shared" ref="L3:M3" si="0">D3-H3</f>
        <v>-0.38999999999999968</v>
      </c>
      <c r="M3" s="7">
        <f t="shared" si="0"/>
        <v>-0.22000000000000064</v>
      </c>
    </row>
    <row r="4" spans="1:13" x14ac:dyDescent="0.3">
      <c r="A4" s="1" t="s">
        <v>8</v>
      </c>
      <c r="B4" s="10" t="s">
        <v>36</v>
      </c>
      <c r="C4" s="11">
        <v>3.3</v>
      </c>
      <c r="D4" s="1">
        <v>4.12</v>
      </c>
      <c r="E4" s="1">
        <v>4.68</v>
      </c>
      <c r="F4" s="10" t="s">
        <v>33</v>
      </c>
      <c r="G4" s="1">
        <v>4.9000000000000004</v>
      </c>
      <c r="H4" s="1">
        <v>4.6900000000000004</v>
      </c>
      <c r="I4" s="1">
        <v>4.93</v>
      </c>
      <c r="J4" s="10"/>
      <c r="K4" s="7">
        <f t="shared" ref="K4:K8" si="1">C4-G4</f>
        <v>-1.6000000000000005</v>
      </c>
      <c r="L4" s="7">
        <f t="shared" ref="L4:L8" si="2">D4-H4</f>
        <v>-0.57000000000000028</v>
      </c>
      <c r="M4" s="7">
        <f t="shared" ref="M4:M8" si="3">E4-I4</f>
        <v>-0.25</v>
      </c>
    </row>
    <row r="5" spans="1:13" x14ac:dyDescent="0.3">
      <c r="A5" s="7" t="s">
        <v>2</v>
      </c>
      <c r="B5" s="10" t="s">
        <v>36</v>
      </c>
      <c r="C5" s="1">
        <v>3.95</v>
      </c>
      <c r="D5" s="1">
        <v>4.34</v>
      </c>
      <c r="E5" s="1">
        <v>4.75</v>
      </c>
      <c r="F5" s="10" t="s">
        <v>33</v>
      </c>
      <c r="G5" s="1">
        <v>4.8600000000000003</v>
      </c>
      <c r="H5" s="1">
        <v>4.62</v>
      </c>
      <c r="I5" s="1">
        <v>4.9000000000000004</v>
      </c>
      <c r="J5" s="10"/>
      <c r="K5" s="7">
        <f t="shared" si="1"/>
        <v>-0.91000000000000014</v>
      </c>
      <c r="L5" s="7">
        <f t="shared" si="2"/>
        <v>-0.28000000000000025</v>
      </c>
      <c r="M5" s="7">
        <f t="shared" si="3"/>
        <v>-0.15000000000000036</v>
      </c>
    </row>
    <row r="6" spans="1:13" x14ac:dyDescent="0.3">
      <c r="A6" s="7" t="s">
        <v>10</v>
      </c>
      <c r="B6" s="10" t="s">
        <v>36</v>
      </c>
      <c r="C6" s="1">
        <v>3.48</v>
      </c>
      <c r="D6" s="1">
        <v>4.16</v>
      </c>
      <c r="E6" s="1">
        <v>4.72</v>
      </c>
      <c r="F6" s="10" t="s">
        <v>33</v>
      </c>
      <c r="G6" s="1">
        <v>4.6100000000000003</v>
      </c>
      <c r="H6" s="1">
        <v>4.3499999999999996</v>
      </c>
      <c r="I6" s="1">
        <v>4.63</v>
      </c>
      <c r="J6" s="10"/>
      <c r="K6" s="7">
        <f t="shared" si="1"/>
        <v>-1.1300000000000003</v>
      </c>
      <c r="L6" s="7">
        <f t="shared" si="2"/>
        <v>-0.1899999999999995</v>
      </c>
      <c r="M6" s="7">
        <f t="shared" si="3"/>
        <v>8.9999999999999858E-2</v>
      </c>
    </row>
    <row r="7" spans="1:13" x14ac:dyDescent="0.3">
      <c r="A7" s="7" t="s">
        <v>11</v>
      </c>
      <c r="B7" s="10" t="s">
        <v>36</v>
      </c>
      <c r="C7" s="1">
        <v>3.33</v>
      </c>
      <c r="D7" s="1">
        <v>4.1100000000000003</v>
      </c>
      <c r="E7" s="1">
        <v>4.6900000000000004</v>
      </c>
      <c r="F7" s="10" t="s">
        <v>33</v>
      </c>
      <c r="G7" s="1">
        <v>4.83</v>
      </c>
      <c r="H7" s="1">
        <v>4.5199999999999996</v>
      </c>
      <c r="I7" s="1">
        <v>4.88</v>
      </c>
      <c r="J7" s="10"/>
      <c r="K7" s="7">
        <f t="shared" si="1"/>
        <v>-1.5</v>
      </c>
      <c r="L7" s="7">
        <f t="shared" si="2"/>
        <v>-0.40999999999999925</v>
      </c>
      <c r="M7" s="7">
        <f t="shared" si="3"/>
        <v>-0.1899999999999995</v>
      </c>
    </row>
    <row r="8" spans="1:13" x14ac:dyDescent="0.3">
      <c r="A8" s="7" t="s">
        <v>40</v>
      </c>
      <c r="B8" s="10" t="s">
        <v>36</v>
      </c>
      <c r="C8" s="1">
        <v>3.89</v>
      </c>
      <c r="D8" s="1">
        <v>4.25</v>
      </c>
      <c r="E8" s="1">
        <v>4.7300000000000004</v>
      </c>
      <c r="F8" s="10" t="s">
        <v>33</v>
      </c>
      <c r="G8" s="1">
        <v>4.84</v>
      </c>
      <c r="H8" s="1">
        <v>4.58</v>
      </c>
      <c r="I8" s="1">
        <v>4.8899999999999997</v>
      </c>
      <c r="J8" s="10"/>
      <c r="K8" s="7">
        <f t="shared" si="1"/>
        <v>-0.94999999999999973</v>
      </c>
      <c r="L8" s="7">
        <f t="shared" si="2"/>
        <v>-0.33000000000000007</v>
      </c>
      <c r="M8" s="7">
        <f t="shared" si="3"/>
        <v>-0.15999999999999925</v>
      </c>
    </row>
    <row r="12" spans="1:13" x14ac:dyDescent="0.3">
      <c r="A12" s="7" t="s">
        <v>42</v>
      </c>
      <c r="B12" s="10" t="s">
        <v>43</v>
      </c>
      <c r="C12" s="1">
        <v>2.37</v>
      </c>
      <c r="D12" s="1">
        <v>3.79</v>
      </c>
      <c r="E12" s="1">
        <v>4.6100000000000003</v>
      </c>
      <c r="F12" s="10" t="s">
        <v>33</v>
      </c>
      <c r="G12" s="1">
        <v>4.87</v>
      </c>
      <c r="H12" s="1">
        <v>4.62</v>
      </c>
      <c r="I12" s="1">
        <v>4.91</v>
      </c>
      <c r="K12" s="7">
        <f t="shared" ref="K12" si="4">C12-G12</f>
        <v>-2.5</v>
      </c>
      <c r="L12" s="7">
        <f t="shared" ref="L12" si="5">D12-H12</f>
        <v>-0.83000000000000007</v>
      </c>
      <c r="M12" s="7">
        <f t="shared" ref="M12" si="6">E12-I12</f>
        <v>-0.29999999999999982</v>
      </c>
    </row>
    <row r="13" spans="1:13" x14ac:dyDescent="0.3">
      <c r="A13" s="7" t="s">
        <v>44</v>
      </c>
      <c r="B13" s="10" t="s">
        <v>43</v>
      </c>
      <c r="C13" s="1">
        <v>2.2799999999999998</v>
      </c>
      <c r="D13" s="1">
        <v>3.49</v>
      </c>
      <c r="E13" s="1">
        <v>4.58</v>
      </c>
      <c r="F13" s="10" t="s">
        <v>33</v>
      </c>
      <c r="G13" s="1">
        <v>4.87</v>
      </c>
      <c r="H13" s="1">
        <v>4.6100000000000003</v>
      </c>
      <c r="I13" s="1">
        <v>4.91</v>
      </c>
      <c r="K13" s="7">
        <f t="shared" ref="K13:K16" si="7">C13-G13</f>
        <v>-2.5900000000000003</v>
      </c>
      <c r="L13" s="7">
        <f t="shared" ref="L13:L16" si="8">D13-H13</f>
        <v>-1.1200000000000001</v>
      </c>
      <c r="M13" s="7">
        <f t="shared" ref="M13:M16" si="9">E13-I13</f>
        <v>-0.33000000000000007</v>
      </c>
    </row>
    <row r="14" spans="1:13" x14ac:dyDescent="0.3">
      <c r="A14" s="7" t="s">
        <v>45</v>
      </c>
      <c r="B14" s="10" t="s">
        <v>43</v>
      </c>
      <c r="C14" s="1">
        <v>1.49</v>
      </c>
      <c r="D14" s="1">
        <v>3.28</v>
      </c>
      <c r="E14" s="1">
        <v>4.79</v>
      </c>
      <c r="F14" s="10" t="s">
        <v>33</v>
      </c>
      <c r="G14" s="1">
        <v>4.8499999999999996</v>
      </c>
      <c r="H14" s="1">
        <v>4.5999999999999996</v>
      </c>
      <c r="I14" s="1">
        <v>4.87</v>
      </c>
      <c r="K14" s="7">
        <f t="shared" si="7"/>
        <v>-3.3599999999999994</v>
      </c>
      <c r="L14" s="7">
        <f t="shared" si="8"/>
        <v>-1.3199999999999998</v>
      </c>
      <c r="M14" s="7">
        <f t="shared" si="9"/>
        <v>-8.0000000000000071E-2</v>
      </c>
    </row>
    <row r="15" spans="1:13" x14ac:dyDescent="0.3">
      <c r="A15" s="7" t="s">
        <v>46</v>
      </c>
      <c r="B15" s="10" t="s">
        <v>43</v>
      </c>
      <c r="C15" s="1">
        <v>1.57</v>
      </c>
      <c r="D15" s="1">
        <v>3.18</v>
      </c>
      <c r="E15" s="1">
        <v>4.8600000000000003</v>
      </c>
      <c r="F15" s="10" t="s">
        <v>33</v>
      </c>
      <c r="G15" s="1">
        <v>4.84</v>
      </c>
      <c r="H15" s="1">
        <v>4.58</v>
      </c>
      <c r="I15" s="1">
        <v>4.8499999999999996</v>
      </c>
      <c r="K15" s="7">
        <f t="shared" si="7"/>
        <v>-3.2699999999999996</v>
      </c>
      <c r="L15" s="7">
        <f t="shared" si="8"/>
        <v>-1.4</v>
      </c>
      <c r="M15" s="7">
        <f t="shared" si="9"/>
        <v>1.0000000000000675E-2</v>
      </c>
    </row>
    <row r="16" spans="1:13" x14ac:dyDescent="0.3">
      <c r="A16" s="7" t="s">
        <v>47</v>
      </c>
      <c r="B16" s="10" t="s">
        <v>43</v>
      </c>
      <c r="C16" s="1">
        <v>1.45</v>
      </c>
      <c r="D16" s="1">
        <v>3.31</v>
      </c>
      <c r="E16" s="1">
        <v>4.78</v>
      </c>
      <c r="F16" s="10" t="s">
        <v>33</v>
      </c>
      <c r="G16" s="1">
        <v>4.8499999999999996</v>
      </c>
      <c r="H16" s="1">
        <v>4.5999999999999996</v>
      </c>
      <c r="I16" s="1">
        <v>4.88</v>
      </c>
      <c r="K16" s="7">
        <f t="shared" si="7"/>
        <v>-3.3999999999999995</v>
      </c>
      <c r="L16" s="7">
        <f t="shared" si="8"/>
        <v>-1.2899999999999996</v>
      </c>
      <c r="M16" s="7">
        <f t="shared" si="9"/>
        <v>-9.9999999999999645E-2</v>
      </c>
    </row>
    <row r="17" spans="1:2" x14ac:dyDescent="0.3">
      <c r="A17" s="7"/>
      <c r="B17" s="12"/>
    </row>
  </sheetData>
  <mergeCells count="4">
    <mergeCell ref="F1:I1"/>
    <mergeCell ref="A1:A2"/>
    <mergeCell ref="B1:E1"/>
    <mergeCell ref="K1:M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7ABB-C516-4DB3-B325-481AF92A7F95}">
  <dimension ref="A1:E10"/>
  <sheetViews>
    <sheetView workbookViewId="0">
      <selection activeCell="F12" sqref="F12"/>
    </sheetView>
  </sheetViews>
  <sheetFormatPr baseColWidth="10" defaultRowHeight="14.4" x14ac:dyDescent="0.3"/>
  <cols>
    <col min="1" max="1" width="4" bestFit="1" customWidth="1"/>
    <col min="2" max="2" width="58.44140625" bestFit="1" customWidth="1"/>
    <col min="3" max="3" width="9.5546875" bestFit="1" customWidth="1"/>
    <col min="4" max="4" width="9.44140625" bestFit="1" customWidth="1"/>
    <col min="5" max="5" width="16.5546875" bestFit="1" customWidth="1"/>
    <col min="6" max="6" width="17.6640625" bestFit="1" customWidth="1"/>
  </cols>
  <sheetData>
    <row r="1" spans="1:5" x14ac:dyDescent="0.3">
      <c r="A1" t="s">
        <v>28</v>
      </c>
      <c r="B1" t="s">
        <v>25</v>
      </c>
      <c r="C1" t="s">
        <v>1</v>
      </c>
      <c r="D1" t="s">
        <v>0</v>
      </c>
      <c r="E1" t="s">
        <v>81</v>
      </c>
    </row>
    <row r="2" spans="1:5" x14ac:dyDescent="0.3">
      <c r="A2" t="s">
        <v>29</v>
      </c>
      <c r="B2" t="s">
        <v>26</v>
      </c>
      <c r="C2" t="s">
        <v>31</v>
      </c>
      <c r="D2" t="s">
        <v>32</v>
      </c>
      <c r="E2">
        <v>28</v>
      </c>
    </row>
    <row r="3" spans="1:5" x14ac:dyDescent="0.3">
      <c r="A3" t="s">
        <v>29</v>
      </c>
      <c r="B3" t="s">
        <v>26</v>
      </c>
      <c r="C3" t="s">
        <v>31</v>
      </c>
      <c r="D3" t="s">
        <v>84</v>
      </c>
      <c r="E3">
        <v>65</v>
      </c>
    </row>
    <row r="4" spans="1:5" x14ac:dyDescent="0.3">
      <c r="A4" t="s">
        <v>29</v>
      </c>
      <c r="B4" t="s">
        <v>26</v>
      </c>
      <c r="C4" t="s">
        <v>31</v>
      </c>
      <c r="D4" t="s">
        <v>34</v>
      </c>
      <c r="E4">
        <v>58</v>
      </c>
    </row>
    <row r="5" spans="1:5" x14ac:dyDescent="0.3">
      <c r="A5" t="s">
        <v>30</v>
      </c>
      <c r="B5" t="s">
        <v>27</v>
      </c>
      <c r="C5" t="s">
        <v>31</v>
      </c>
      <c r="D5" t="s">
        <v>32</v>
      </c>
      <c r="E5">
        <v>78</v>
      </c>
    </row>
    <row r="6" spans="1:5" x14ac:dyDescent="0.3">
      <c r="A6" t="s">
        <v>30</v>
      </c>
      <c r="B6" t="s">
        <v>27</v>
      </c>
      <c r="C6" t="s">
        <v>31</v>
      </c>
      <c r="D6" t="s">
        <v>84</v>
      </c>
      <c r="E6">
        <v>88</v>
      </c>
    </row>
    <row r="7" spans="1:5" x14ac:dyDescent="0.3">
      <c r="A7" t="s">
        <v>30</v>
      </c>
      <c r="B7" t="s">
        <v>27</v>
      </c>
      <c r="C7" t="s">
        <v>31</v>
      </c>
      <c r="D7" t="s">
        <v>34</v>
      </c>
      <c r="E7">
        <v>90</v>
      </c>
    </row>
    <row r="8" spans="1:5" x14ac:dyDescent="0.3">
      <c r="A8" t="s">
        <v>83</v>
      </c>
      <c r="B8" t="s">
        <v>82</v>
      </c>
      <c r="C8" t="s">
        <v>31</v>
      </c>
      <c r="D8" t="s">
        <v>32</v>
      </c>
      <c r="E8">
        <v>70</v>
      </c>
    </row>
    <row r="9" spans="1:5" x14ac:dyDescent="0.3">
      <c r="A9" t="s">
        <v>83</v>
      </c>
      <c r="B9" t="s">
        <v>82</v>
      </c>
      <c r="C9" t="s">
        <v>31</v>
      </c>
      <c r="D9" t="s">
        <v>84</v>
      </c>
      <c r="E9">
        <v>72</v>
      </c>
    </row>
    <row r="10" spans="1:5" x14ac:dyDescent="0.3">
      <c r="A10" t="s">
        <v>83</v>
      </c>
      <c r="B10" t="s">
        <v>82</v>
      </c>
      <c r="C10" t="s">
        <v>31</v>
      </c>
      <c r="D10" t="s">
        <v>34</v>
      </c>
      <c r="E10">
        <v>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question overlap</vt:lpstr>
      <vt:lpstr>stat label</vt:lpstr>
      <vt:lpstr>eval labels</vt:lpstr>
      <vt:lpstr>stat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NOUR ELDIN</dc:creator>
  <cp:lastModifiedBy>Ali NOUR ELDIN</cp:lastModifiedBy>
  <dcterms:created xsi:type="dcterms:W3CDTF">2015-06-05T18:17:20Z</dcterms:created>
  <dcterms:modified xsi:type="dcterms:W3CDTF">2026-02-06T12:21:14Z</dcterms:modified>
</cp:coreProperties>
</file>