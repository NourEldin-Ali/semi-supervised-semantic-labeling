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noureldin\Desktop\TSP\semi-supervised-labeling-framework\results\"/>
    </mc:Choice>
  </mc:AlternateContent>
  <xr:revisionPtr revIDLastSave="0" documentId="13_ncr:1_{E6E7BD86-CBAF-49AD-B499-8325254B1666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stat label" sheetId="1" r:id="rId1"/>
    <sheet name="eval labels" sheetId="2" r:id="rId2"/>
    <sheet name="stat questions" sheetId="5" r:id="rId3"/>
    <sheet name="eval question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" i="2" l="1"/>
  <c r="N4" i="2"/>
  <c r="O4" i="2"/>
  <c r="P4" i="2"/>
  <c r="P3" i="2"/>
  <c r="N3" i="2"/>
  <c r="O3" i="2"/>
  <c r="M3" i="2"/>
</calcChain>
</file>

<file path=xl/sharedStrings.xml><?xml version="1.0" encoding="utf-8"?>
<sst xmlns="http://schemas.openxmlformats.org/spreadsheetml/2006/main" count="268" uniqueCount="100">
  <si>
    <t>labeling + KNN</t>
  </si>
  <si>
    <t>method</t>
  </si>
  <si>
    <t>standard</t>
  </si>
  <si>
    <t>iso 27002</t>
  </si>
  <si>
    <t>304.10 s</t>
  </si>
  <si>
    <t>Execution time</t>
  </si>
  <si>
    <t>Tokens consumed</t>
  </si>
  <si>
    <t>Energy consumed</t>
  </si>
  <si>
    <t>0.002871 kWh</t>
  </si>
  <si>
    <t>Clusters</t>
  </si>
  <si>
    <t>Labeled Items</t>
  </si>
  <si>
    <t>iso 27001</t>
  </si>
  <si>
    <t>169.49 s</t>
  </si>
  <si>
    <t>0.001600 kWh</t>
  </si>
  <si>
    <t>Total Items</t>
  </si>
  <si>
    <t>iso 27017</t>
  </si>
  <si>
    <t>174.09 s</t>
  </si>
  <si>
    <t>0.001644 kWh</t>
  </si>
  <si>
    <t>iso 27018</t>
  </si>
  <si>
    <t>178.86 s</t>
  </si>
  <si>
    <t>0.001689 kWh</t>
  </si>
  <si>
    <t>iso 27701</t>
  </si>
  <si>
    <t>260.48 s</t>
  </si>
  <si>
    <t>0.002459 kWh</t>
  </si>
  <si>
    <t>unique labels</t>
  </si>
  <si>
    <t>labeling</t>
  </si>
  <si>
    <t xml:space="preserve">prediction from iso 27002 </t>
  </si>
  <si>
    <t xml:space="preserve">prediction from iso 27001 </t>
  </si>
  <si>
    <t xml:space="preserve">prediction from iso 27017 </t>
  </si>
  <si>
    <t xml:space="preserve">prediction from iso 27018 </t>
  </si>
  <si>
    <t xml:space="preserve">prediction from iso 27701 </t>
  </si>
  <si>
    <t>315.33 s</t>
  </si>
  <si>
    <t>0.002977 kWh</t>
  </si>
  <si>
    <t>-</t>
  </si>
  <si>
    <t>367.99 s</t>
  </si>
  <si>
    <t>0.003474 kWh</t>
  </si>
  <si>
    <t>314.00 s</t>
  </si>
  <si>
    <t>0.002965 kWh</t>
  </si>
  <si>
    <t>284.56 s</t>
  </si>
  <si>
    <t>0.002687 kWh</t>
  </si>
  <si>
    <t>310.28 s</t>
  </si>
  <si>
    <t>0.002929 kWh</t>
  </si>
  <si>
    <t>embeddings</t>
  </si>
  <si>
    <t>6.23 s</t>
  </si>
  <si>
    <t>0.000059 kWh</t>
  </si>
  <si>
    <t>5.26 s</t>
  </si>
  <si>
    <t>0.000050 kWh</t>
  </si>
  <si>
    <t>4.34 s</t>
  </si>
  <si>
    <t>0.000041 kWh</t>
  </si>
  <si>
    <t>4.25 s</t>
  </si>
  <si>
    <t>0.000040 kWh</t>
  </si>
  <si>
    <t>4.66 s</t>
  </si>
  <si>
    <t>0.000044 kWh</t>
  </si>
  <si>
    <t>0.12 s</t>
  </si>
  <si>
    <t>0.000001 kWh</t>
  </si>
  <si>
    <t>0.30 s</t>
  </si>
  <si>
    <t>0.000003 kWh</t>
  </si>
  <si>
    <t>0.29 s</t>
  </si>
  <si>
    <t>0.15 s</t>
  </si>
  <si>
    <t>0.18 s</t>
  </si>
  <si>
    <t>0.000002 kWh</t>
  </si>
  <si>
    <t>Method 1</t>
  </si>
  <si>
    <t xml:space="preserve"> </t>
  </si>
  <si>
    <t>Method 2</t>
  </si>
  <si>
    <t>Relevance</t>
  </si>
  <si>
    <t>Completeness</t>
  </si>
  <si>
    <t>Correctness</t>
  </si>
  <si>
    <t>Generalizability</t>
  </si>
  <si>
    <t>predictions</t>
  </si>
  <si>
    <t>201.55 s</t>
  </si>
  <si>
    <t>0.001903 kWh</t>
  </si>
  <si>
    <t>csa caiq</t>
  </si>
  <si>
    <t>345.83 s</t>
  </si>
  <si>
    <t>0.003263 kWh</t>
  </si>
  <si>
    <t>6.04 s</t>
  </si>
  <si>
    <t>0.000057 kWh</t>
  </si>
  <si>
    <t>query</t>
  </si>
  <si>
    <t>Backup Frequency &amp; Retention</t>
  </si>
  <si>
    <t>Monitoring &amp; Incident Response</t>
  </si>
  <si>
    <t>id</t>
  </si>
  <si>
    <t>q_1</t>
  </si>
  <si>
    <t>q_2</t>
  </si>
  <si>
    <t>questions returned</t>
  </si>
  <si>
    <t>CSA_CAIQ</t>
  </si>
  <si>
    <t>0.03 s</t>
  </si>
  <si>
    <t>BM25</t>
  </si>
  <si>
    <t>6.25 s</t>
  </si>
  <si>
    <t>similarity</t>
  </si>
  <si>
    <t>2.42 s</t>
  </si>
  <si>
    <t>our labels</t>
  </si>
  <si>
    <t>21.56 s</t>
  </si>
  <si>
    <t>llm</t>
  </si>
  <si>
    <t>method 1</t>
  </si>
  <si>
    <t>win</t>
  </si>
  <si>
    <t>score 1</t>
  </si>
  <si>
    <t>score 2</t>
  </si>
  <si>
    <t>method 2</t>
  </si>
  <si>
    <t>LLM</t>
  </si>
  <si>
    <t>Similarity</t>
  </si>
  <si>
    <t>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</si>
</sst>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rgb="FF000000"/>
      <name val="Arial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0F172A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4" sqref="A14:I14"/>
    </sheetView>
  </sheetViews>
  <sheetFormatPr baseColWidth="10" defaultColWidth="8.88671875" defaultRowHeight="14.4" x14ac:dyDescent="0.3"/>
  <cols>
    <col min="1" max="1" width="23.33203125" style="1" bestFit="1" customWidth="1"/>
    <col min="2" max="2" width="17.88671875" style="1" customWidth="1"/>
    <col min="3" max="3" width="13.109375" style="1" bestFit="1" customWidth="1"/>
    <col min="4" max="4" width="15.5546875" style="1" bestFit="1" customWidth="1"/>
    <col min="5" max="5" width="15.21875" style="1" bestFit="1" customWidth="1"/>
    <col min="6" max="6" width="7.44140625" style="1" bestFit="1" customWidth="1"/>
    <col min="7" max="7" width="12.33203125" style="1" bestFit="1" customWidth="1"/>
    <col min="8" max="8" width="10.21875" style="1" bestFit="1" customWidth="1"/>
    <col min="9" max="9" width="13.77734375" style="1" bestFit="1" customWidth="1"/>
    <col min="10" max="16384" width="8.88671875" style="1"/>
  </cols>
  <sheetData>
    <row r="1" spans="1:9" x14ac:dyDescent="0.3">
      <c r="A1" s="1" t="s">
        <v>1</v>
      </c>
      <c r="B1" s="1" t="s">
        <v>2</v>
      </c>
      <c r="C1" s="2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14</v>
      </c>
      <c r="I1" s="1" t="s">
        <v>24</v>
      </c>
    </row>
    <row r="2" spans="1:9" x14ac:dyDescent="0.3">
      <c r="A2" s="1" t="s">
        <v>0</v>
      </c>
      <c r="B2" s="1" t="s">
        <v>11</v>
      </c>
      <c r="C2" s="1" t="s">
        <v>12</v>
      </c>
      <c r="D2" s="3">
        <v>30414</v>
      </c>
      <c r="E2" s="1" t="s">
        <v>13</v>
      </c>
      <c r="F2" s="1">
        <v>64</v>
      </c>
      <c r="G2" s="1">
        <v>200</v>
      </c>
      <c r="H2" s="1">
        <v>200</v>
      </c>
      <c r="I2" s="1">
        <v>95</v>
      </c>
    </row>
    <row r="3" spans="1:9" x14ac:dyDescent="0.3">
      <c r="A3" s="1" t="s">
        <v>0</v>
      </c>
      <c r="B3" s="1" t="s">
        <v>3</v>
      </c>
      <c r="C3" s="1" t="s">
        <v>4</v>
      </c>
      <c r="D3" s="3">
        <v>59808</v>
      </c>
      <c r="E3" s="1" t="s">
        <v>8</v>
      </c>
      <c r="F3" s="1">
        <v>131</v>
      </c>
      <c r="G3" s="1">
        <v>250</v>
      </c>
      <c r="H3" s="1">
        <v>250</v>
      </c>
      <c r="I3" s="1">
        <v>255</v>
      </c>
    </row>
    <row r="4" spans="1:9" x14ac:dyDescent="0.3">
      <c r="A4" s="1" t="s">
        <v>0</v>
      </c>
      <c r="B4" s="1" t="s">
        <v>15</v>
      </c>
      <c r="C4" s="1" t="s">
        <v>16</v>
      </c>
      <c r="D4" s="3">
        <v>28842</v>
      </c>
      <c r="E4" s="1" t="s">
        <v>17</v>
      </c>
      <c r="F4" s="1">
        <v>58</v>
      </c>
      <c r="G4" s="1">
        <v>200</v>
      </c>
      <c r="H4" s="1">
        <v>200</v>
      </c>
      <c r="I4" s="1">
        <v>114</v>
      </c>
    </row>
    <row r="5" spans="1:9" x14ac:dyDescent="0.3">
      <c r="A5" s="1" t="s">
        <v>0</v>
      </c>
      <c r="B5" s="1" t="s">
        <v>18</v>
      </c>
      <c r="C5" s="1" t="s">
        <v>19</v>
      </c>
      <c r="D5" s="3">
        <v>30270</v>
      </c>
      <c r="E5" s="1" t="s">
        <v>20</v>
      </c>
      <c r="F5" s="1">
        <v>60</v>
      </c>
      <c r="G5" s="1">
        <v>200</v>
      </c>
      <c r="H5" s="1">
        <v>200</v>
      </c>
      <c r="I5" s="1">
        <v>121</v>
      </c>
    </row>
    <row r="6" spans="1:9" x14ac:dyDescent="0.3">
      <c r="A6" s="1" t="s">
        <v>0</v>
      </c>
      <c r="B6" s="1" t="s">
        <v>21</v>
      </c>
      <c r="C6" s="1" t="s">
        <v>22</v>
      </c>
      <c r="D6" s="3">
        <v>31303</v>
      </c>
      <c r="E6" s="1" t="s">
        <v>23</v>
      </c>
      <c r="F6" s="1">
        <v>63</v>
      </c>
      <c r="G6" s="1">
        <v>200</v>
      </c>
      <c r="H6" s="1">
        <v>200</v>
      </c>
      <c r="I6" s="1">
        <v>119</v>
      </c>
    </row>
    <row r="7" spans="1:9" s="5" customFormat="1" x14ac:dyDescent="0.3">
      <c r="A7" s="5" t="s">
        <v>0</v>
      </c>
      <c r="B7" s="5" t="s">
        <v>71</v>
      </c>
      <c r="C7" s="5" t="s">
        <v>69</v>
      </c>
      <c r="D7" s="3">
        <v>26525</v>
      </c>
      <c r="E7" s="5" t="s">
        <v>70</v>
      </c>
      <c r="F7" s="5">
        <v>30</v>
      </c>
      <c r="G7" s="5">
        <v>260</v>
      </c>
      <c r="H7" s="5">
        <v>260</v>
      </c>
      <c r="I7" s="9">
        <v>83</v>
      </c>
    </row>
    <row r="9" spans="1:9" x14ac:dyDescent="0.3">
      <c r="A9" s="1" t="s">
        <v>25</v>
      </c>
      <c r="B9" s="1" t="s">
        <v>11</v>
      </c>
      <c r="C9" s="1" t="s">
        <v>31</v>
      </c>
      <c r="D9" s="3">
        <v>50556</v>
      </c>
      <c r="E9" s="1" t="s">
        <v>32</v>
      </c>
      <c r="F9" s="4" t="s">
        <v>33</v>
      </c>
      <c r="G9" s="1">
        <v>200</v>
      </c>
      <c r="H9" s="1">
        <v>200</v>
      </c>
      <c r="I9" s="1">
        <v>463</v>
      </c>
    </row>
    <row r="10" spans="1:9" x14ac:dyDescent="0.3">
      <c r="A10" s="1" t="s">
        <v>25</v>
      </c>
      <c r="B10" s="1" t="s">
        <v>3</v>
      </c>
      <c r="C10" s="1" t="s">
        <v>34</v>
      </c>
      <c r="D10" s="3">
        <v>63640</v>
      </c>
      <c r="E10" s="1" t="s">
        <v>35</v>
      </c>
      <c r="F10" s="4" t="s">
        <v>33</v>
      </c>
      <c r="G10" s="1">
        <v>250</v>
      </c>
      <c r="H10" s="1">
        <v>250</v>
      </c>
      <c r="I10" s="1">
        <v>670</v>
      </c>
    </row>
    <row r="11" spans="1:9" x14ac:dyDescent="0.3">
      <c r="A11" s="1" t="s">
        <v>25</v>
      </c>
      <c r="B11" s="1" t="s">
        <v>15</v>
      </c>
      <c r="C11" s="1" t="s">
        <v>36</v>
      </c>
      <c r="D11" s="3">
        <v>51245</v>
      </c>
      <c r="E11" s="1" t="s">
        <v>37</v>
      </c>
      <c r="F11" s="4" t="s">
        <v>33</v>
      </c>
      <c r="G11" s="1">
        <v>200</v>
      </c>
      <c r="H11" s="1">
        <v>200</v>
      </c>
      <c r="I11" s="1">
        <v>543</v>
      </c>
    </row>
    <row r="12" spans="1:9" x14ac:dyDescent="0.3">
      <c r="A12" s="1" t="s">
        <v>25</v>
      </c>
      <c r="B12" s="1" t="s">
        <v>18</v>
      </c>
      <c r="C12" s="1" t="s">
        <v>38</v>
      </c>
      <c r="D12" s="3">
        <v>51577</v>
      </c>
      <c r="E12" s="1" t="s">
        <v>39</v>
      </c>
      <c r="F12" s="4" t="s">
        <v>33</v>
      </c>
      <c r="G12" s="1">
        <v>200</v>
      </c>
      <c r="H12" s="1">
        <v>200</v>
      </c>
      <c r="I12" s="1">
        <v>524</v>
      </c>
    </row>
    <row r="13" spans="1:9" x14ac:dyDescent="0.3">
      <c r="A13" s="1" t="s">
        <v>25</v>
      </c>
      <c r="B13" s="1" t="s">
        <v>21</v>
      </c>
      <c r="C13" s="1" t="s">
        <v>40</v>
      </c>
      <c r="D13" s="3">
        <v>51527</v>
      </c>
      <c r="E13" s="1" t="s">
        <v>41</v>
      </c>
      <c r="F13" s="4" t="s">
        <v>33</v>
      </c>
      <c r="G13" s="1">
        <v>200</v>
      </c>
      <c r="H13" s="1">
        <v>200</v>
      </c>
      <c r="I13" s="1">
        <v>508</v>
      </c>
    </row>
    <row r="14" spans="1:9" s="5" customFormat="1" x14ac:dyDescent="0.3">
      <c r="A14" s="9" t="s">
        <v>25</v>
      </c>
      <c r="B14" s="5" t="s">
        <v>71</v>
      </c>
      <c r="C14" s="5" t="s">
        <v>72</v>
      </c>
      <c r="D14" s="3">
        <v>74333</v>
      </c>
      <c r="E14" s="2" t="s">
        <v>73</v>
      </c>
      <c r="F14" s="4" t="s">
        <v>33</v>
      </c>
      <c r="G14" s="5">
        <v>260</v>
      </c>
      <c r="H14" s="5">
        <v>260</v>
      </c>
      <c r="I14" s="5">
        <v>1065</v>
      </c>
    </row>
    <row r="16" spans="1:9" x14ac:dyDescent="0.3">
      <c r="A16" s="1" t="s">
        <v>27</v>
      </c>
      <c r="B16" s="1" t="s">
        <v>3</v>
      </c>
    </row>
    <row r="17" spans="1:5" x14ac:dyDescent="0.3">
      <c r="A17" s="1" t="s">
        <v>27</v>
      </c>
      <c r="B17" s="1" t="s">
        <v>15</v>
      </c>
    </row>
    <row r="18" spans="1:5" x14ac:dyDescent="0.3">
      <c r="A18" s="1" t="s">
        <v>27</v>
      </c>
      <c r="B18" s="1" t="s">
        <v>18</v>
      </c>
    </row>
    <row r="19" spans="1:5" x14ac:dyDescent="0.3">
      <c r="A19" s="1" t="s">
        <v>27</v>
      </c>
      <c r="B19" s="1" t="s">
        <v>21</v>
      </c>
    </row>
    <row r="21" spans="1:5" x14ac:dyDescent="0.3">
      <c r="A21" s="1" t="s">
        <v>26</v>
      </c>
      <c r="B21" s="1" t="s">
        <v>11</v>
      </c>
      <c r="C21" s="1" t="s">
        <v>53</v>
      </c>
      <c r="E21" s="1" t="s">
        <v>54</v>
      </c>
    </row>
    <row r="22" spans="1:5" x14ac:dyDescent="0.3">
      <c r="A22" s="1" t="s">
        <v>26</v>
      </c>
      <c r="B22" s="1" t="s">
        <v>15</v>
      </c>
      <c r="C22" s="1" t="s">
        <v>59</v>
      </c>
      <c r="E22" s="1" t="s">
        <v>60</v>
      </c>
    </row>
    <row r="23" spans="1:5" x14ac:dyDescent="0.3">
      <c r="A23" s="1" t="s">
        <v>26</v>
      </c>
      <c r="B23" s="1" t="s">
        <v>18</v>
      </c>
    </row>
    <row r="24" spans="1:5" x14ac:dyDescent="0.3">
      <c r="A24" s="1" t="s">
        <v>26</v>
      </c>
      <c r="B24" s="1" t="s">
        <v>21</v>
      </c>
    </row>
    <row r="26" spans="1:5" x14ac:dyDescent="0.3">
      <c r="A26" s="1" t="s">
        <v>28</v>
      </c>
      <c r="B26" s="1" t="s">
        <v>11</v>
      </c>
      <c r="C26" s="1" t="s">
        <v>55</v>
      </c>
      <c r="E26" s="1" t="s">
        <v>56</v>
      </c>
    </row>
    <row r="27" spans="1:5" x14ac:dyDescent="0.3">
      <c r="A27" s="1" t="s">
        <v>28</v>
      </c>
      <c r="B27" s="1" t="s">
        <v>3</v>
      </c>
    </row>
    <row r="28" spans="1:5" x14ac:dyDescent="0.3">
      <c r="A28" s="1" t="s">
        <v>28</v>
      </c>
      <c r="B28" s="1" t="s">
        <v>18</v>
      </c>
    </row>
    <row r="29" spans="1:5" x14ac:dyDescent="0.3">
      <c r="A29" s="1" t="s">
        <v>28</v>
      </c>
      <c r="B29" s="1" t="s">
        <v>21</v>
      </c>
    </row>
    <row r="31" spans="1:5" x14ac:dyDescent="0.3">
      <c r="A31" s="1" t="s">
        <v>29</v>
      </c>
      <c r="B31" s="1" t="s">
        <v>11</v>
      </c>
      <c r="C31" s="1" t="s">
        <v>57</v>
      </c>
      <c r="E31" s="1" t="s">
        <v>56</v>
      </c>
    </row>
    <row r="32" spans="1:5" x14ac:dyDescent="0.3">
      <c r="A32" s="1" t="s">
        <v>29</v>
      </c>
      <c r="B32" s="1" t="s">
        <v>3</v>
      </c>
    </row>
    <row r="33" spans="1:5" x14ac:dyDescent="0.3">
      <c r="A33" s="1" t="s">
        <v>29</v>
      </c>
      <c r="B33" s="1" t="s">
        <v>15</v>
      </c>
    </row>
    <row r="34" spans="1:5" x14ac:dyDescent="0.3">
      <c r="A34" s="1" t="s">
        <v>29</v>
      </c>
      <c r="B34" s="1" t="s">
        <v>21</v>
      </c>
    </row>
    <row r="36" spans="1:5" x14ac:dyDescent="0.3">
      <c r="A36" s="1" t="s">
        <v>30</v>
      </c>
      <c r="B36" s="1" t="s">
        <v>11</v>
      </c>
      <c r="C36" s="1" t="s">
        <v>58</v>
      </c>
      <c r="E36" s="1" t="s">
        <v>54</v>
      </c>
    </row>
    <row r="37" spans="1:5" x14ac:dyDescent="0.3">
      <c r="A37" s="1" t="s">
        <v>30</v>
      </c>
      <c r="B37" s="1" t="s">
        <v>3</v>
      </c>
    </row>
    <row r="38" spans="1:5" x14ac:dyDescent="0.3">
      <c r="A38" s="1" t="s">
        <v>30</v>
      </c>
      <c r="B38" s="1" t="s">
        <v>15</v>
      </c>
    </row>
    <row r="39" spans="1:5" x14ac:dyDescent="0.3">
      <c r="A39" s="1" t="s">
        <v>30</v>
      </c>
      <c r="B39" s="1" t="s">
        <v>18</v>
      </c>
    </row>
    <row r="41" spans="1:5" x14ac:dyDescent="0.3">
      <c r="A41" s="1" t="s">
        <v>42</v>
      </c>
      <c r="B41" s="1" t="s">
        <v>11</v>
      </c>
      <c r="C41" s="9" t="s">
        <v>43</v>
      </c>
      <c r="D41" s="3">
        <v>1570</v>
      </c>
      <c r="E41" s="1" t="s">
        <v>44</v>
      </c>
    </row>
    <row r="42" spans="1:5" x14ac:dyDescent="0.3">
      <c r="A42" s="1" t="s">
        <v>42</v>
      </c>
      <c r="B42" s="1" t="s">
        <v>3</v>
      </c>
      <c r="C42" s="1" t="s">
        <v>45</v>
      </c>
      <c r="D42" s="3">
        <v>2162</v>
      </c>
      <c r="E42" s="1" t="s">
        <v>46</v>
      </c>
    </row>
    <row r="43" spans="1:5" x14ac:dyDescent="0.3">
      <c r="A43" s="1" t="s">
        <v>42</v>
      </c>
      <c r="B43" s="1" t="s">
        <v>15</v>
      </c>
      <c r="C43" s="1" t="s">
        <v>47</v>
      </c>
      <c r="D43" s="3">
        <v>1898</v>
      </c>
      <c r="E43" s="1" t="s">
        <v>48</v>
      </c>
    </row>
    <row r="44" spans="1:5" x14ac:dyDescent="0.3">
      <c r="A44" s="1" t="s">
        <v>42</v>
      </c>
      <c r="B44" s="1" t="s">
        <v>18</v>
      </c>
      <c r="C44" s="1" t="s">
        <v>49</v>
      </c>
      <c r="D44" s="3">
        <v>2081</v>
      </c>
      <c r="E44" s="1" t="s">
        <v>50</v>
      </c>
    </row>
    <row r="45" spans="1:5" x14ac:dyDescent="0.3">
      <c r="A45" s="1" t="s">
        <v>42</v>
      </c>
      <c r="B45" s="1" t="s">
        <v>21</v>
      </c>
      <c r="C45" s="1" t="s">
        <v>51</v>
      </c>
      <c r="D45" s="3">
        <v>2048</v>
      </c>
      <c r="E45" s="1" t="s">
        <v>52</v>
      </c>
    </row>
    <row r="46" spans="1:5" x14ac:dyDescent="0.3">
      <c r="A46" s="9" t="s">
        <v>42</v>
      </c>
      <c r="B46" s="9" t="s">
        <v>71</v>
      </c>
      <c r="C46" s="9" t="s">
        <v>74</v>
      </c>
      <c r="D46" s="3">
        <v>6078</v>
      </c>
      <c r="E46" s="9" t="s">
        <v>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2610F-C3CA-44CD-9E7B-781EBD420E9B}">
  <dimension ref="A1:P5"/>
  <sheetViews>
    <sheetView workbookViewId="0">
      <selection activeCell="P3" sqref="A3:P4"/>
    </sheetView>
  </sheetViews>
  <sheetFormatPr baseColWidth="10" defaultRowHeight="14.4" x14ac:dyDescent="0.3"/>
  <cols>
    <col min="1" max="1" width="11.5546875" style="1"/>
    <col min="2" max="2" width="22.6640625" style="1" bestFit="1" customWidth="1"/>
    <col min="3" max="3" width="9.88671875" style="1" bestFit="1" customWidth="1"/>
    <col min="4" max="4" width="11.5546875" style="1"/>
    <col min="5" max="5" width="10.6640625" style="1" bestFit="1" customWidth="1"/>
    <col min="6" max="6" width="13.44140625" style="1" bestFit="1" customWidth="1"/>
    <col min="7" max="7" width="7.21875" style="1" bestFit="1" customWidth="1"/>
    <col min="8" max="10" width="11.5546875" style="1"/>
    <col min="11" max="11" width="13.44140625" style="1" bestFit="1" customWidth="1"/>
    <col min="12" max="13" width="11.5546875" style="1"/>
    <col min="14" max="14" width="12.44140625" style="1" bestFit="1" customWidth="1"/>
    <col min="15" max="15" width="10.6640625" style="1" bestFit="1" customWidth="1"/>
    <col min="16" max="16" width="13.44140625" style="1" bestFit="1" customWidth="1"/>
    <col min="17" max="16384" width="11.5546875" style="1"/>
  </cols>
  <sheetData>
    <row r="1" spans="1:16" x14ac:dyDescent="0.3">
      <c r="A1" s="10" t="s">
        <v>2</v>
      </c>
      <c r="B1" s="10" t="s">
        <v>61</v>
      </c>
      <c r="C1" s="10"/>
      <c r="D1" s="10"/>
      <c r="E1" s="10"/>
      <c r="F1" s="10"/>
      <c r="G1" s="10" t="s">
        <v>63</v>
      </c>
      <c r="H1" s="10"/>
      <c r="I1" s="10"/>
      <c r="J1" s="10"/>
      <c r="K1" s="10"/>
      <c r="L1" s="10"/>
      <c r="M1" s="10"/>
      <c r="N1" s="10"/>
      <c r="O1" s="10"/>
    </row>
    <row r="2" spans="1:16" x14ac:dyDescent="0.3">
      <c r="A2" s="10"/>
      <c r="C2" s="1" t="s">
        <v>64</v>
      </c>
      <c r="D2" s="1" t="s">
        <v>65</v>
      </c>
      <c r="E2" s="1" t="s">
        <v>66</v>
      </c>
      <c r="F2" s="1" t="s">
        <v>67</v>
      </c>
      <c r="H2" s="1" t="s">
        <v>64</v>
      </c>
      <c r="I2" s="1" t="s">
        <v>65</v>
      </c>
      <c r="J2" s="1" t="s">
        <v>66</v>
      </c>
      <c r="K2" s="1" t="s">
        <v>67</v>
      </c>
      <c r="M2" s="1" t="s">
        <v>64</v>
      </c>
      <c r="N2" s="1" t="s">
        <v>65</v>
      </c>
      <c r="O2" s="1" t="s">
        <v>66</v>
      </c>
      <c r="P2" s="1" t="s">
        <v>67</v>
      </c>
    </row>
    <row r="3" spans="1:16" x14ac:dyDescent="0.3">
      <c r="A3" s="1" t="s">
        <v>11</v>
      </c>
      <c r="B3" s="1" t="s">
        <v>0</v>
      </c>
      <c r="C3" s="6">
        <v>3.91</v>
      </c>
      <c r="D3" s="6">
        <v>3.2</v>
      </c>
      <c r="E3" s="6">
        <v>3.64</v>
      </c>
      <c r="F3" s="6">
        <v>4</v>
      </c>
      <c r="G3" s="1" t="s">
        <v>25</v>
      </c>
      <c r="H3" s="6">
        <v>4.9800000000000004</v>
      </c>
      <c r="I3" s="6">
        <v>4.62</v>
      </c>
      <c r="J3" s="6">
        <v>4.82</v>
      </c>
      <c r="K3" s="6">
        <v>4.7</v>
      </c>
      <c r="M3" s="7">
        <f>H3-C3</f>
        <v>1.0700000000000003</v>
      </c>
      <c r="N3" s="7">
        <f t="shared" ref="N3:O3" si="0">I3-D3</f>
        <v>1.42</v>
      </c>
      <c r="O3" s="7">
        <f t="shared" si="0"/>
        <v>1.1800000000000002</v>
      </c>
      <c r="P3" s="7">
        <f>K3-F3</f>
        <v>0.70000000000000018</v>
      </c>
    </row>
    <row r="4" spans="1:16" x14ac:dyDescent="0.2">
      <c r="A4" s="1" t="s">
        <v>15</v>
      </c>
      <c r="B4" s="1" t="s">
        <v>68</v>
      </c>
      <c r="C4" s="8">
        <v>2.6</v>
      </c>
      <c r="D4" s="1">
        <v>1.58</v>
      </c>
      <c r="E4" s="1">
        <v>2.73</v>
      </c>
      <c r="F4" s="1">
        <v>3.38</v>
      </c>
      <c r="G4" s="1" t="s">
        <v>25</v>
      </c>
      <c r="H4" s="1">
        <v>5</v>
      </c>
      <c r="I4" s="1">
        <v>4.9000000000000004</v>
      </c>
      <c r="J4" s="1">
        <v>4.83</v>
      </c>
      <c r="K4" s="1">
        <v>4.57</v>
      </c>
      <c r="M4" s="7">
        <f>H4-C4</f>
        <v>2.4</v>
      </c>
      <c r="N4" s="7">
        <f t="shared" ref="N4" si="1">I4-D4</f>
        <v>3.3200000000000003</v>
      </c>
      <c r="O4" s="7">
        <f t="shared" ref="O4" si="2">J4-E4</f>
        <v>2.1</v>
      </c>
      <c r="P4" s="7">
        <f>K4-F4</f>
        <v>1.1900000000000004</v>
      </c>
    </row>
    <row r="5" spans="1:16" x14ac:dyDescent="0.3">
      <c r="B5" s="1" t="s">
        <v>62</v>
      </c>
    </row>
  </sheetData>
  <mergeCells count="4">
    <mergeCell ref="B1:F1"/>
    <mergeCell ref="G1:K1"/>
    <mergeCell ref="A1:A2"/>
    <mergeCell ref="L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D7ABB-C516-4DB3-B325-481AF92A7F95}">
  <dimension ref="A1:H9"/>
  <sheetViews>
    <sheetView workbookViewId="0">
      <selection activeCell="C6" sqref="C6:C9"/>
    </sheetView>
  </sheetViews>
  <sheetFormatPr baseColWidth="10" defaultRowHeight="14.4" x14ac:dyDescent="0.3"/>
  <cols>
    <col min="1" max="1" width="4" bestFit="1" customWidth="1"/>
    <col min="2" max="2" width="29" bestFit="1" customWidth="1"/>
    <col min="3" max="3" width="9.5546875" bestFit="1" customWidth="1"/>
    <col min="4" max="4" width="9.44140625" bestFit="1" customWidth="1"/>
    <col min="5" max="5" width="13.88671875" bestFit="1" customWidth="1"/>
    <col min="6" max="6" width="16.5546875" bestFit="1" customWidth="1"/>
    <col min="7" max="7" width="16.21875" bestFit="1" customWidth="1"/>
    <col min="8" max="8" width="17.6640625" bestFit="1" customWidth="1"/>
  </cols>
  <sheetData>
    <row r="1" spans="1:8" x14ac:dyDescent="0.3">
      <c r="A1" t="s">
        <v>79</v>
      </c>
      <c r="B1" t="s">
        <v>76</v>
      </c>
      <c r="C1" t="s">
        <v>2</v>
      </c>
      <c r="D1" t="s">
        <v>1</v>
      </c>
      <c r="E1" t="s">
        <v>5</v>
      </c>
      <c r="F1" t="s">
        <v>6</v>
      </c>
      <c r="G1" t="s">
        <v>7</v>
      </c>
      <c r="H1" t="s">
        <v>82</v>
      </c>
    </row>
    <row r="2" spans="1:8" x14ac:dyDescent="0.3">
      <c r="A2" t="s">
        <v>80</v>
      </c>
      <c r="B2" t="s">
        <v>77</v>
      </c>
      <c r="C2" t="s">
        <v>83</v>
      </c>
      <c r="D2" t="s">
        <v>85</v>
      </c>
      <c r="E2" t="s">
        <v>84</v>
      </c>
      <c r="F2">
        <v>0</v>
      </c>
      <c r="G2">
        <v>0</v>
      </c>
      <c r="H2">
        <v>10</v>
      </c>
    </row>
    <row r="3" spans="1:8" x14ac:dyDescent="0.3">
      <c r="A3" t="s">
        <v>80</v>
      </c>
      <c r="B3" t="s">
        <v>77</v>
      </c>
      <c r="C3" t="s">
        <v>83</v>
      </c>
      <c r="D3" t="s">
        <v>87</v>
      </c>
      <c r="E3" s="11" t="s">
        <v>86</v>
      </c>
    </row>
    <row r="4" spans="1:8" x14ac:dyDescent="0.3">
      <c r="A4" t="s">
        <v>80</v>
      </c>
      <c r="B4" t="s">
        <v>77</v>
      </c>
      <c r="C4" t="s">
        <v>83</v>
      </c>
      <c r="D4" t="s">
        <v>89</v>
      </c>
      <c r="E4" t="s">
        <v>88</v>
      </c>
    </row>
    <row r="5" spans="1:8" x14ac:dyDescent="0.3">
      <c r="A5" t="s">
        <v>80</v>
      </c>
      <c r="B5" t="s">
        <v>77</v>
      </c>
      <c r="C5" t="s">
        <v>83</v>
      </c>
      <c r="D5" t="s">
        <v>91</v>
      </c>
      <c r="E5" t="s">
        <v>90</v>
      </c>
    </row>
    <row r="6" spans="1:8" x14ac:dyDescent="0.3">
      <c r="A6" t="s">
        <v>81</v>
      </c>
      <c r="B6" t="s">
        <v>78</v>
      </c>
      <c r="C6" t="s">
        <v>83</v>
      </c>
    </row>
    <row r="7" spans="1:8" x14ac:dyDescent="0.3">
      <c r="A7" t="s">
        <v>81</v>
      </c>
      <c r="B7" t="s">
        <v>78</v>
      </c>
      <c r="C7" t="s">
        <v>83</v>
      </c>
    </row>
    <row r="8" spans="1:8" x14ac:dyDescent="0.3">
      <c r="A8" t="s">
        <v>81</v>
      </c>
      <c r="B8" t="s">
        <v>78</v>
      </c>
      <c r="C8" t="s">
        <v>83</v>
      </c>
    </row>
    <row r="9" spans="1:8" x14ac:dyDescent="0.3">
      <c r="A9" t="s">
        <v>81</v>
      </c>
      <c r="B9" t="s">
        <v>78</v>
      </c>
      <c r="C9" t="s">
        <v>83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67B13-B18F-459D-9ED5-45465C4AF37D}">
  <dimension ref="A1:G14"/>
  <sheetViews>
    <sheetView tabSelected="1" workbookViewId="0">
      <selection activeCell="E10" sqref="E10"/>
    </sheetView>
  </sheetViews>
  <sheetFormatPr baseColWidth="10" defaultRowHeight="14.4" x14ac:dyDescent="0.3"/>
  <cols>
    <col min="1" max="1" width="4" bestFit="1" customWidth="1"/>
    <col min="2" max="2" width="27.77734375" bestFit="1" customWidth="1"/>
  </cols>
  <sheetData>
    <row r="1" spans="1:7" x14ac:dyDescent="0.3">
      <c r="A1" t="s">
        <v>79</v>
      </c>
      <c r="B1" t="s">
        <v>76</v>
      </c>
      <c r="C1" t="s">
        <v>92</v>
      </c>
      <c r="D1" t="s">
        <v>96</v>
      </c>
      <c r="E1" t="s">
        <v>93</v>
      </c>
      <c r="F1" t="s">
        <v>94</v>
      </c>
      <c r="G1" t="s">
        <v>95</v>
      </c>
    </row>
    <row r="2" spans="1:7" x14ac:dyDescent="0.3">
      <c r="A2" t="s">
        <v>80</v>
      </c>
      <c r="B2" t="s">
        <v>77</v>
      </c>
      <c r="C2" t="s">
        <v>85</v>
      </c>
      <c r="D2" t="s">
        <v>97</v>
      </c>
      <c r="E2" t="s">
        <v>97</v>
      </c>
      <c r="F2">
        <v>35</v>
      </c>
      <c r="G2">
        <v>82</v>
      </c>
    </row>
    <row r="3" spans="1:7" x14ac:dyDescent="0.3">
      <c r="A3" t="s">
        <v>80</v>
      </c>
      <c r="B3" t="s">
        <v>77</v>
      </c>
      <c r="C3" t="s">
        <v>85</v>
      </c>
      <c r="D3" t="s">
        <v>98</v>
      </c>
      <c r="E3" t="s">
        <v>98</v>
      </c>
      <c r="F3">
        <v>38</v>
      </c>
      <c r="G3">
        <v>72</v>
      </c>
    </row>
    <row r="4" spans="1:7" x14ac:dyDescent="0.3">
      <c r="A4" t="s">
        <v>80</v>
      </c>
      <c r="B4" t="s">
        <v>77</v>
      </c>
      <c r="C4" t="s">
        <v>85</v>
      </c>
      <c r="D4" t="s">
        <v>99</v>
      </c>
      <c r="E4" t="s">
        <v>99</v>
      </c>
      <c r="F4">
        <v>28</v>
      </c>
      <c r="G4">
        <v>34</v>
      </c>
    </row>
    <row r="5" spans="1:7" x14ac:dyDescent="0.3">
      <c r="A5" t="s">
        <v>80</v>
      </c>
      <c r="B5" t="s">
        <v>77</v>
      </c>
      <c r="C5" t="s">
        <v>97</v>
      </c>
      <c r="D5" t="s">
        <v>98</v>
      </c>
      <c r="E5" t="s">
        <v>97</v>
      </c>
      <c r="F5">
        <v>78</v>
      </c>
      <c r="G5">
        <v>64</v>
      </c>
    </row>
    <row r="6" spans="1:7" x14ac:dyDescent="0.3">
      <c r="A6" t="s">
        <v>80</v>
      </c>
      <c r="B6" t="s">
        <v>77</v>
      </c>
      <c r="C6" t="s">
        <v>97</v>
      </c>
      <c r="D6" t="s">
        <v>99</v>
      </c>
      <c r="E6" t="s">
        <v>97</v>
      </c>
      <c r="F6">
        <v>86</v>
      </c>
      <c r="G6">
        <v>42</v>
      </c>
    </row>
    <row r="7" spans="1:7" x14ac:dyDescent="0.3">
      <c r="A7" t="s">
        <v>80</v>
      </c>
      <c r="B7" t="s">
        <v>77</v>
      </c>
      <c r="C7" t="s">
        <v>99</v>
      </c>
      <c r="D7" t="s">
        <v>98</v>
      </c>
      <c r="E7" t="s">
        <v>98</v>
      </c>
      <c r="F7">
        <v>38</v>
      </c>
      <c r="G7">
        <v>62</v>
      </c>
    </row>
    <row r="8" spans="1:7" x14ac:dyDescent="0.3">
      <c r="A8" t="s">
        <v>80</v>
      </c>
      <c r="B8" t="s">
        <v>77</v>
      </c>
      <c r="C8" t="s">
        <v>97</v>
      </c>
      <c r="D8" t="s">
        <v>98</v>
      </c>
    </row>
    <row r="9" spans="1:7" x14ac:dyDescent="0.3">
      <c r="A9" t="s">
        <v>81</v>
      </c>
      <c r="B9" t="s">
        <v>78</v>
      </c>
      <c r="C9" t="s">
        <v>85</v>
      </c>
      <c r="D9" t="s">
        <v>97</v>
      </c>
      <c r="E9" t="s">
        <v>97</v>
      </c>
      <c r="F9">
        <v>87</v>
      </c>
      <c r="G9">
        <v>78</v>
      </c>
    </row>
    <row r="10" spans="1:7" x14ac:dyDescent="0.3">
      <c r="A10" t="s">
        <v>81</v>
      </c>
      <c r="B10" t="s">
        <v>78</v>
      </c>
      <c r="C10" t="s">
        <v>85</v>
      </c>
      <c r="D10" t="s">
        <v>98</v>
      </c>
      <c r="E10" t="s">
        <v>98</v>
      </c>
      <c r="F10">
        <v>78</v>
      </c>
      <c r="G10">
        <v>88</v>
      </c>
    </row>
    <row r="11" spans="1:7" x14ac:dyDescent="0.3">
      <c r="A11" t="s">
        <v>81</v>
      </c>
      <c r="B11" t="s">
        <v>78</v>
      </c>
      <c r="C11" t="s">
        <v>85</v>
      </c>
      <c r="D11" t="s">
        <v>99</v>
      </c>
      <c r="E11" t="s">
        <v>85</v>
      </c>
      <c r="F11">
        <v>92</v>
      </c>
      <c r="G11">
        <v>18</v>
      </c>
    </row>
    <row r="12" spans="1:7" x14ac:dyDescent="0.3">
      <c r="A12" t="s">
        <v>81</v>
      </c>
      <c r="B12" t="s">
        <v>78</v>
      </c>
      <c r="C12" t="s">
        <v>97</v>
      </c>
      <c r="D12" t="s">
        <v>98</v>
      </c>
      <c r="E12" t="s">
        <v>97</v>
      </c>
      <c r="F12">
        <v>90</v>
      </c>
      <c r="G12">
        <v>72</v>
      </c>
    </row>
    <row r="13" spans="1:7" x14ac:dyDescent="0.3">
      <c r="A13" t="s">
        <v>81</v>
      </c>
      <c r="B13" t="s">
        <v>78</v>
      </c>
      <c r="C13" t="s">
        <v>97</v>
      </c>
      <c r="D13" t="s">
        <v>99</v>
      </c>
    </row>
    <row r="14" spans="1:7" x14ac:dyDescent="0.3">
      <c r="A14" t="s">
        <v>81</v>
      </c>
      <c r="B14" t="s">
        <v>78</v>
      </c>
      <c r="C14" t="s">
        <v>99</v>
      </c>
      <c r="D14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stat label</vt:lpstr>
      <vt:lpstr>eval labels</vt:lpstr>
      <vt:lpstr>stat questions</vt:lpstr>
      <vt:lpstr>eval questions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NOUR ELDIN</dc:creator>
  <cp:lastModifiedBy>Ali NOUR ELDIN</cp:lastModifiedBy>
  <dcterms:created xsi:type="dcterms:W3CDTF">2015-06-05T18:17:20Z</dcterms:created>
  <dcterms:modified xsi:type="dcterms:W3CDTF">2026-02-04T13:29:37Z</dcterms:modified>
</cp:coreProperties>
</file>